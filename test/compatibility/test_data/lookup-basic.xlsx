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/HotNoBackup/hyperformula/test/compatibility/"/>
    </mc:Choice>
  </mc:AlternateContent>
  <xr:revisionPtr revIDLastSave="0" documentId="13_ncr:1_{F775441F-C395-6D42-972C-34A60CD04DCF}" xr6:coauthVersionLast="47" xr6:coauthVersionMax="47" xr10:uidLastSave="{00000000-0000-0000-0000-000000000000}"/>
  <bookViews>
    <workbookView xWindow="3980" yWindow="2680" windowWidth="28040" windowHeight="17440" xr2:uid="{F997A473-E5B9-6546-A23C-E1800F1F6A92}"/>
  </bookViews>
  <sheets>
    <sheet name="Products" sheetId="1" r:id="rId1"/>
    <sheet name="ProductsByName" sheetId="2" r:id="rId2"/>
    <sheet name="Lookup_By_ID" sheetId="3" r:id="rId3"/>
    <sheet name="Lookup_By_Name" sheetId="4" r:id="rId4"/>
    <sheet name="Grades" sheetId="5" r:id="rId5"/>
    <sheet name="Lookup_Approx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C2" i="6"/>
  <c r="B3" i="6"/>
  <c r="C3" i="6"/>
  <c r="B4" i="6"/>
  <c r="C4" i="6"/>
  <c r="B5" i="6"/>
  <c r="C5" i="6"/>
  <c r="B6" i="6"/>
  <c r="C6" i="6"/>
  <c r="B7" i="6"/>
  <c r="C7" i="6"/>
  <c r="B8" i="6"/>
  <c r="C8" i="6"/>
  <c r="B2" i="4"/>
  <c r="C2" i="4"/>
  <c r="D2" i="4"/>
  <c r="E2" i="4"/>
  <c r="B3" i="4"/>
  <c r="C3" i="4"/>
  <c r="D3" i="4"/>
  <c r="E3" i="4"/>
  <c r="B4" i="4"/>
  <c r="C4" i="4"/>
  <c r="D4" i="4"/>
  <c r="E4" i="4"/>
  <c r="B5" i="4"/>
  <c r="C5" i="4"/>
  <c r="D5" i="4"/>
  <c r="E5" i="4"/>
  <c r="B6" i="4"/>
  <c r="C6" i="4"/>
  <c r="D6" i="4"/>
  <c r="E6" i="4"/>
  <c r="B2" i="3"/>
  <c r="C2" i="3"/>
  <c r="D2" i="3"/>
  <c r="E2" i="3"/>
  <c r="F2" i="3"/>
  <c r="G2" i="3"/>
  <c r="B3" i="3"/>
  <c r="C3" i="3"/>
  <c r="D3" i="3"/>
  <c r="E3" i="3"/>
  <c r="F3" i="3"/>
  <c r="G3" i="3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</calcChain>
</file>

<file path=xl/sharedStrings.xml><?xml version="1.0" encoding="utf-8"?>
<sst xmlns="http://schemas.openxmlformats.org/spreadsheetml/2006/main" count="111" uniqueCount="58">
  <si>
    <t>ID</t>
  </si>
  <si>
    <t>Name</t>
  </si>
  <si>
    <t>Score</t>
  </si>
  <si>
    <t>Price</t>
  </si>
  <si>
    <t>Grade</t>
  </si>
  <si>
    <t>F</t>
  </si>
  <si>
    <t>D</t>
  </si>
  <si>
    <t>C</t>
  </si>
  <si>
    <t>B</t>
  </si>
  <si>
    <t>A</t>
  </si>
  <si>
    <t>Unknown</t>
  </si>
  <si>
    <t>Category</t>
  </si>
  <si>
    <t>Stock</t>
  </si>
  <si>
    <t>SKU</t>
  </si>
  <si>
    <t>Pencils</t>
  </si>
  <si>
    <t>Stationery</t>
  </si>
  <si>
    <t>PEN-001</t>
  </si>
  <si>
    <t>Notebook</t>
  </si>
  <si>
    <t>NOTE-002</t>
  </si>
  <si>
    <t>Stapler</t>
  </si>
  <si>
    <t>Office</t>
  </si>
  <si>
    <t>STAP-003</t>
  </si>
  <si>
    <t>Mouse</t>
  </si>
  <si>
    <t>Electronics</t>
  </si>
  <si>
    <t>MOU-004</t>
  </si>
  <si>
    <t>Keyboard</t>
  </si>
  <si>
    <t>KEY-005</t>
  </si>
  <si>
    <t>Monitor</t>
  </si>
  <si>
    <t>MON-006</t>
  </si>
  <si>
    <t>Chair</t>
  </si>
  <si>
    <t>Furniture</t>
  </si>
  <si>
    <t>CHA-007</t>
  </si>
  <si>
    <t>Desk</t>
  </si>
  <si>
    <t>DESK-008</t>
  </si>
  <si>
    <t>Coffee</t>
  </si>
  <si>
    <t>Beverage</t>
  </si>
  <si>
    <t>COF-009</t>
  </si>
  <si>
    <t>Tea</t>
  </si>
  <si>
    <t>TEA-010</t>
  </si>
  <si>
    <t>Paper</t>
  </si>
  <si>
    <t>PAP-011</t>
  </si>
  <si>
    <t>Ruler</t>
  </si>
  <si>
    <t>RUL-012</t>
  </si>
  <si>
    <t>Query_ID</t>
  </si>
  <si>
    <t>VLOOKUP_Name</t>
  </si>
  <si>
    <t>INDEXMATCH_Name</t>
  </si>
  <si>
    <t>VLOOKUP_Price</t>
  </si>
  <si>
    <t>INDEXMATCH_Price</t>
  </si>
  <si>
    <t>VLOOKUP_SKU</t>
  </si>
  <si>
    <t>INDEXMATCH_SKU</t>
  </si>
  <si>
    <t>uery_Name</t>
  </si>
  <si>
    <t>VLOOKUP_ID</t>
  </si>
  <si>
    <t>INDEXMATCH_ID</t>
  </si>
  <si>
    <t>VLOOKUP_Stock</t>
  </si>
  <si>
    <t>INDEXMATCH_Stock</t>
  </si>
  <si>
    <t>ScoreMin</t>
  </si>
  <si>
    <t>VLOOKUP_Approx_Grade</t>
  </si>
  <si>
    <t>INDEX_MATCH_Approx_Grade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</si>
</sst>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3C08-A604-474F-B013-5E80F3786EB3}">
  <dimension ref="A1:F13"/>
  <sheetViews>
    <sheetView tabSelected="1" workbookViewId="0">
      <selection activeCell="F32" sqref="F3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11</v>
      </c>
      <c r="D1" t="s">
        <v>3</v>
      </c>
      <c r="E1" t="s">
        <v>12</v>
      </c>
      <c r="F1" t="s">
        <v>13</v>
      </c>
    </row>
    <row r="2" spans="1:6" x14ac:dyDescent="0.2">
      <c r="A2">
        <v>1</v>
      </c>
      <c r="B2" t="s">
        <v>14</v>
      </c>
      <c r="C2" t="s">
        <v>15</v>
      </c>
      <c r="D2">
        <v>0.99</v>
      </c>
      <c r="E2">
        <v>500</v>
      </c>
      <c r="F2" t="s">
        <v>16</v>
      </c>
    </row>
    <row r="3" spans="1:6" x14ac:dyDescent="0.2">
      <c r="A3">
        <v>2</v>
      </c>
      <c r="B3" t="s">
        <v>17</v>
      </c>
      <c r="C3" t="s">
        <v>15</v>
      </c>
      <c r="D3">
        <v>2.4900000000000002</v>
      </c>
      <c r="E3">
        <v>200</v>
      </c>
      <c r="F3" t="s">
        <v>18</v>
      </c>
    </row>
    <row r="4" spans="1:6" x14ac:dyDescent="0.2">
      <c r="A4">
        <v>3</v>
      </c>
      <c r="B4" t="s">
        <v>19</v>
      </c>
      <c r="C4" t="s">
        <v>20</v>
      </c>
      <c r="D4">
        <v>7.99</v>
      </c>
      <c r="E4">
        <v>75</v>
      </c>
      <c r="F4" t="s">
        <v>21</v>
      </c>
    </row>
    <row r="5" spans="1:6" x14ac:dyDescent="0.2">
      <c r="A5">
        <v>4</v>
      </c>
      <c r="B5" t="s">
        <v>22</v>
      </c>
      <c r="C5" t="s">
        <v>23</v>
      </c>
      <c r="D5">
        <v>19.989999999999998</v>
      </c>
      <c r="E5">
        <v>120</v>
      </c>
      <c r="F5" t="s">
        <v>24</v>
      </c>
    </row>
    <row r="6" spans="1:6" x14ac:dyDescent="0.2">
      <c r="A6">
        <v>5</v>
      </c>
      <c r="B6" t="s">
        <v>25</v>
      </c>
      <c r="C6" t="s">
        <v>23</v>
      </c>
      <c r="D6">
        <v>29.99</v>
      </c>
      <c r="E6">
        <v>80</v>
      </c>
      <c r="F6" t="s">
        <v>26</v>
      </c>
    </row>
    <row r="7" spans="1:6" x14ac:dyDescent="0.2">
      <c r="A7">
        <v>6</v>
      </c>
      <c r="B7" t="s">
        <v>27</v>
      </c>
      <c r="C7" t="s">
        <v>23</v>
      </c>
      <c r="D7">
        <v>149.99</v>
      </c>
      <c r="E7">
        <v>30</v>
      </c>
      <c r="F7" t="s">
        <v>28</v>
      </c>
    </row>
    <row r="8" spans="1:6" x14ac:dyDescent="0.2">
      <c r="A8">
        <v>7</v>
      </c>
      <c r="B8" t="s">
        <v>29</v>
      </c>
      <c r="C8" t="s">
        <v>30</v>
      </c>
      <c r="D8">
        <v>89.99</v>
      </c>
      <c r="E8">
        <v>45</v>
      </c>
      <c r="F8" t="s">
        <v>31</v>
      </c>
    </row>
    <row r="9" spans="1:6" x14ac:dyDescent="0.2">
      <c r="A9">
        <v>8</v>
      </c>
      <c r="B9" t="s">
        <v>32</v>
      </c>
      <c r="C9" t="s">
        <v>30</v>
      </c>
      <c r="D9">
        <v>199.99</v>
      </c>
      <c r="E9">
        <v>20</v>
      </c>
      <c r="F9" t="s">
        <v>33</v>
      </c>
    </row>
    <row r="10" spans="1:6" x14ac:dyDescent="0.2">
      <c r="A10">
        <v>9</v>
      </c>
      <c r="B10" t="s">
        <v>34</v>
      </c>
      <c r="C10" t="s">
        <v>35</v>
      </c>
      <c r="D10">
        <v>4.5</v>
      </c>
      <c r="E10">
        <v>300</v>
      </c>
      <c r="F10" t="s">
        <v>36</v>
      </c>
    </row>
    <row r="11" spans="1:6" x14ac:dyDescent="0.2">
      <c r="A11">
        <v>10</v>
      </c>
      <c r="B11" t="s">
        <v>37</v>
      </c>
      <c r="C11" t="s">
        <v>35</v>
      </c>
      <c r="D11">
        <v>3.75</v>
      </c>
      <c r="E11">
        <v>250</v>
      </c>
      <c r="F11" t="s">
        <v>38</v>
      </c>
    </row>
    <row r="12" spans="1:6" x14ac:dyDescent="0.2">
      <c r="A12">
        <v>11</v>
      </c>
      <c r="B12" t="s">
        <v>39</v>
      </c>
      <c r="C12" t="s">
        <v>15</v>
      </c>
      <c r="D12">
        <v>5.25</v>
      </c>
      <c r="E12">
        <v>400</v>
      </c>
      <c r="F12" t="s">
        <v>40</v>
      </c>
    </row>
    <row r="13" spans="1:6" x14ac:dyDescent="0.2">
      <c r="A13">
        <v>12</v>
      </c>
      <c r="B13" t="s">
        <v>41</v>
      </c>
      <c r="C13" t="s">
        <v>15</v>
      </c>
      <c r="D13">
        <v>1.5</v>
      </c>
      <c r="E13">
        <v>180</v>
      </c>
      <c r="F1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236B-9006-C04F-844A-00A04934608B}">
  <dimension ref="A1:F13"/>
  <sheetViews>
    <sheetView workbookViewId="0">
      <selection sqref="A1:F13"/>
    </sheetView>
  </sheetViews>
  <sheetFormatPr baseColWidth="10" defaultRowHeight="16" x14ac:dyDescent="0.2"/>
  <sheetData>
    <row r="1" spans="1:6" x14ac:dyDescent="0.2">
      <c r="A1" t="s">
        <v>1</v>
      </c>
      <c r="B1" t="s">
        <v>0</v>
      </c>
      <c r="C1" t="s">
        <v>11</v>
      </c>
      <c r="D1" t="s">
        <v>3</v>
      </c>
      <c r="E1" t="s">
        <v>12</v>
      </c>
      <c r="F1" t="s">
        <v>13</v>
      </c>
    </row>
    <row r="2" spans="1:6" x14ac:dyDescent="0.2">
      <c r="A2" t="s">
        <v>14</v>
      </c>
      <c r="B2">
        <v>1</v>
      </c>
      <c r="C2" t="s">
        <v>15</v>
      </c>
      <c r="D2">
        <v>0.99</v>
      </c>
      <c r="E2">
        <v>500</v>
      </c>
      <c r="F2" t="s">
        <v>16</v>
      </c>
    </row>
    <row r="3" spans="1:6" x14ac:dyDescent="0.2">
      <c r="A3" t="s">
        <v>17</v>
      </c>
      <c r="B3">
        <v>2</v>
      </c>
      <c r="C3" t="s">
        <v>15</v>
      </c>
      <c r="D3">
        <v>2.4900000000000002</v>
      </c>
      <c r="E3">
        <v>200</v>
      </c>
      <c r="F3" t="s">
        <v>18</v>
      </c>
    </row>
    <row r="4" spans="1:6" x14ac:dyDescent="0.2">
      <c r="A4" t="s">
        <v>19</v>
      </c>
      <c r="B4">
        <v>3</v>
      </c>
      <c r="C4" t="s">
        <v>20</v>
      </c>
      <c r="D4">
        <v>7.99</v>
      </c>
      <c r="E4">
        <v>75</v>
      </c>
      <c r="F4" t="s">
        <v>21</v>
      </c>
    </row>
    <row r="5" spans="1:6" x14ac:dyDescent="0.2">
      <c r="A5" t="s">
        <v>22</v>
      </c>
      <c r="B5">
        <v>4</v>
      </c>
      <c r="C5" t="s">
        <v>23</v>
      </c>
      <c r="D5">
        <v>19.989999999999998</v>
      </c>
      <c r="E5">
        <v>120</v>
      </c>
      <c r="F5" t="s">
        <v>24</v>
      </c>
    </row>
    <row r="6" spans="1:6" x14ac:dyDescent="0.2">
      <c r="A6" t="s">
        <v>25</v>
      </c>
      <c r="B6">
        <v>5</v>
      </c>
      <c r="C6" t="s">
        <v>23</v>
      </c>
      <c r="D6">
        <v>29.99</v>
      </c>
      <c r="E6">
        <v>80</v>
      </c>
      <c r="F6" t="s">
        <v>26</v>
      </c>
    </row>
    <row r="7" spans="1:6" x14ac:dyDescent="0.2">
      <c r="A7" t="s">
        <v>27</v>
      </c>
      <c r="B7">
        <v>6</v>
      </c>
      <c r="C7" t="s">
        <v>23</v>
      </c>
      <c r="D7">
        <v>149.99</v>
      </c>
      <c r="E7">
        <v>30</v>
      </c>
      <c r="F7" t="s">
        <v>28</v>
      </c>
    </row>
    <row r="8" spans="1:6" x14ac:dyDescent="0.2">
      <c r="A8" t="s">
        <v>29</v>
      </c>
      <c r="B8">
        <v>7</v>
      </c>
      <c r="C8" t="s">
        <v>30</v>
      </c>
      <c r="D8">
        <v>89.99</v>
      </c>
      <c r="E8">
        <v>45</v>
      </c>
      <c r="F8" t="s">
        <v>31</v>
      </c>
    </row>
    <row r="9" spans="1:6" x14ac:dyDescent="0.2">
      <c r="A9" t="s">
        <v>32</v>
      </c>
      <c r="B9">
        <v>8</v>
      </c>
      <c r="C9" t="s">
        <v>30</v>
      </c>
      <c r="D9">
        <v>199.99</v>
      </c>
      <c r="E9">
        <v>20</v>
      </c>
      <c r="F9" t="s">
        <v>33</v>
      </c>
    </row>
    <row r="10" spans="1:6" x14ac:dyDescent="0.2">
      <c r="A10" t="s">
        <v>34</v>
      </c>
      <c r="B10">
        <v>9</v>
      </c>
      <c r="C10" t="s">
        <v>35</v>
      </c>
      <c r="D10">
        <v>4.5</v>
      </c>
      <c r="E10">
        <v>300</v>
      </c>
      <c r="F10" t="s">
        <v>36</v>
      </c>
    </row>
    <row r="11" spans="1:6" x14ac:dyDescent="0.2">
      <c r="A11" t="s">
        <v>37</v>
      </c>
      <c r="B11">
        <v>10</v>
      </c>
      <c r="C11" t="s">
        <v>35</v>
      </c>
      <c r="D11">
        <v>3.75</v>
      </c>
      <c r="E11">
        <v>250</v>
      </c>
      <c r="F11" t="s">
        <v>38</v>
      </c>
    </row>
    <row r="12" spans="1:6" x14ac:dyDescent="0.2">
      <c r="A12" t="s">
        <v>39</v>
      </c>
      <c r="B12">
        <v>11</v>
      </c>
      <c r="C12" t="s">
        <v>15</v>
      </c>
      <c r="D12">
        <v>5.25</v>
      </c>
      <c r="E12">
        <v>400</v>
      </c>
      <c r="F12" t="s">
        <v>40</v>
      </c>
    </row>
    <row r="13" spans="1:6" x14ac:dyDescent="0.2">
      <c r="A13" t="s">
        <v>41</v>
      </c>
      <c r="B13">
        <v>12</v>
      </c>
      <c r="C13" t="s">
        <v>15</v>
      </c>
      <c r="D13">
        <v>1.5</v>
      </c>
      <c r="E13">
        <v>180</v>
      </c>
      <c r="F1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79AB-C085-234E-BDE9-AAD8C2D8F214}">
  <dimension ref="A1:G7"/>
  <sheetViews>
    <sheetView workbookViewId="0">
      <selection sqref="A1:G7"/>
    </sheetView>
  </sheetViews>
  <sheetFormatPr baseColWidth="10" defaultRowHeight="16" x14ac:dyDescent="0.2"/>
  <sheetData>
    <row r="1" spans="1:7" x14ac:dyDescent="0.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2">
      <c r="A2">
        <v>1</v>
      </c>
      <c r="B2" t="str">
        <f>VLOOKUP($A2,Products!$A$2:$F$13,2,FALSE)</f>
        <v>Pencils</v>
      </c>
      <c r="C2" t="str">
        <f>INDEX(Products!$B$2:$B$13,MATCH($A2,Products!$A$2:$A$13,0))</f>
        <v>Pencils</v>
      </c>
      <c r="D2">
        <f>VLOOKUP($A2,Products!$A$2:$F$13,4,FALSE)</f>
        <v>0.99</v>
      </c>
      <c r="E2">
        <f>INDEX(Products!$D$2:$D$13,MATCH($A2,Products!$A$2:$A$13,0))</f>
        <v>0.99</v>
      </c>
      <c r="F2" t="str">
        <f>VLOOKUP($A2,Products!$A$2:$F$13,6,FALSE)</f>
        <v>PEN-001</v>
      </c>
      <c r="G2" t="str">
        <f>INDEX(Products!$F$2:$F$13,MATCH($A2,Products!$A$2:$A$13,0))</f>
        <v>PEN-001</v>
      </c>
    </row>
    <row r="3" spans="1:7" x14ac:dyDescent="0.2">
      <c r="A3">
        <v>5</v>
      </c>
      <c r="B3" t="str">
        <f>VLOOKUP($A3,Products!$A$2:$F$13,2,FALSE)</f>
        <v>Keyboard</v>
      </c>
      <c r="C3" t="str">
        <f>INDEX(Products!$B$2:$B$13,MATCH($A3,Products!$A$2:$A$13,0))</f>
        <v>Keyboard</v>
      </c>
      <c r="D3">
        <f>VLOOKUP($A3,Products!$A$2:$F$13,4,FALSE)</f>
        <v>29.99</v>
      </c>
      <c r="E3">
        <f>INDEX(Products!$D$2:$D$13,MATCH($A3,Products!$A$2:$A$13,0))</f>
        <v>29.99</v>
      </c>
      <c r="F3" t="str">
        <f>VLOOKUP($A3,Products!$A$2:$F$13,6,FALSE)</f>
        <v>KEY-005</v>
      </c>
      <c r="G3" t="str">
        <f>INDEX(Products!$F$2:$F$13,MATCH($A3,Products!$A$2:$A$13,0))</f>
        <v>KEY-005</v>
      </c>
    </row>
    <row r="4" spans="1:7" x14ac:dyDescent="0.2">
      <c r="A4">
        <v>12</v>
      </c>
      <c r="B4" t="str">
        <f>VLOOKUP($A4,Products!$A$2:$F$13,2,FALSE)</f>
        <v>Ruler</v>
      </c>
      <c r="C4" t="str">
        <f>INDEX(Products!$B$2:$B$13,MATCH($A4,Products!$A$2:$A$13,0))</f>
        <v>Ruler</v>
      </c>
      <c r="D4">
        <f>VLOOKUP($A4,Products!$A$2:$F$13,4,FALSE)</f>
        <v>1.5</v>
      </c>
      <c r="E4">
        <f>INDEX(Products!$D$2:$D$13,MATCH($A4,Products!$A$2:$A$13,0))</f>
        <v>1.5</v>
      </c>
      <c r="F4" t="str">
        <f>VLOOKUP($A4,Products!$A$2:$F$13,6,FALSE)</f>
        <v>RUL-012</v>
      </c>
      <c r="G4" t="str">
        <f>INDEX(Products!$F$2:$F$13,MATCH($A4,Products!$A$2:$A$13,0))</f>
        <v>RUL-012</v>
      </c>
    </row>
    <row r="5" spans="1:7" x14ac:dyDescent="0.2">
      <c r="A5">
        <v>99</v>
      </c>
      <c r="B5" t="e">
        <f>VLOOKUP($A5,Products!$A$2:$F$13,2,FALSE)</f>
        <v>#N/A</v>
      </c>
      <c r="C5" t="e">
        <f>INDEX(Products!$B$2:$B$13,MATCH($A5,Products!$A$2:$A$13,0))</f>
        <v>#N/A</v>
      </c>
      <c r="D5" t="e">
        <f>VLOOKUP($A5,Products!$A$2:$F$13,4,FALSE)</f>
        <v>#N/A</v>
      </c>
      <c r="E5" t="e">
        <f>INDEX(Products!$D$2:$D$13,MATCH($A5,Products!$A$2:$A$13,0))</f>
        <v>#N/A</v>
      </c>
      <c r="F5" t="e">
        <f>VLOOKUP($A5,Products!$A$2:$F$13,6,FALSE)</f>
        <v>#N/A</v>
      </c>
      <c r="G5" t="e">
        <f>INDEX(Products!$F$2:$F$13,MATCH($A5,Products!$A$2:$A$13,0))</f>
        <v>#N/A</v>
      </c>
    </row>
    <row r="6" spans="1:7" x14ac:dyDescent="0.2">
      <c r="A6">
        <v>8</v>
      </c>
      <c r="B6" t="str">
        <f>VLOOKUP($A6,Products!$A$2:$F$13,2,FALSE)</f>
        <v>Desk</v>
      </c>
      <c r="C6" t="str">
        <f>INDEX(Products!$B$2:$B$13,MATCH($A6,Products!$A$2:$A$13,0))</f>
        <v>Desk</v>
      </c>
      <c r="D6">
        <f>VLOOKUP($A6,Products!$A$2:$F$13,4,FALSE)</f>
        <v>199.99</v>
      </c>
      <c r="E6">
        <f>INDEX(Products!$D$2:$D$13,MATCH($A6,Products!$A$2:$A$13,0))</f>
        <v>199.99</v>
      </c>
      <c r="F6" t="str">
        <f>VLOOKUP($A6,Products!$A$2:$F$13,6,FALSE)</f>
        <v>DESK-008</v>
      </c>
      <c r="G6" t="str">
        <f>INDEX(Products!$F$2:$F$13,MATCH($A6,Products!$A$2:$A$13,0))</f>
        <v>DESK-008</v>
      </c>
    </row>
    <row r="7" spans="1:7" x14ac:dyDescent="0.2">
      <c r="A7">
        <v>3</v>
      </c>
      <c r="B7" t="str">
        <f>VLOOKUP($A7,Products!$A$2:$F$13,2,FALSE)</f>
        <v>Stapler</v>
      </c>
      <c r="C7" t="str">
        <f>INDEX(Products!$B$2:$B$13,MATCH($A7,Products!$A$2:$A$13,0))</f>
        <v>Stapler</v>
      </c>
      <c r="D7">
        <f>VLOOKUP($A7,Products!$A$2:$F$13,4,FALSE)</f>
        <v>7.99</v>
      </c>
      <c r="E7">
        <f>INDEX(Products!$D$2:$D$13,MATCH($A7,Products!$A$2:$A$13,0))</f>
        <v>7.99</v>
      </c>
      <c r="F7" t="str">
        <f>VLOOKUP($A7,Products!$A$2:$F$13,6,FALSE)</f>
        <v>STAP-003</v>
      </c>
      <c r="G7" t="str">
        <f>INDEX(Products!$F$2:$F$13,MATCH($A7,Products!$A$2:$A$13,0))</f>
        <v>STAP-003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5A7E-1942-BF4C-BB31-84FB5C6B13B3}">
  <dimension ref="A1:E6"/>
  <sheetViews>
    <sheetView workbookViewId="0">
      <selection activeCell="B5" sqref="B5"/>
    </sheetView>
  </sheetViews>
  <sheetFormatPr baseColWidth="10" defaultRowHeight="16" x14ac:dyDescent="0.2"/>
  <sheetData>
    <row r="1" spans="1:5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2">
      <c r="A2" t="s">
        <v>27</v>
      </c>
      <c r="B2">
        <f>VLOOKUP($A2,ProductsByName!$A$2:$F$13,2,FALSE)</f>
        <v>6</v>
      </c>
      <c r="C2">
        <f>INDEX(Products!$A$2:$A$13,MATCH($A2,Products!$B$2:$B$13,0))</f>
        <v>6</v>
      </c>
      <c r="D2">
        <f>VLOOKUP($A2,ProductsByName!$A$2:$F$13,5,FALSE)</f>
        <v>30</v>
      </c>
      <c r="E2">
        <f>INDEX(Products!$E$2:$E$13,MATCH($A2,Products!$B$2:$B$13,0))</f>
        <v>30</v>
      </c>
    </row>
    <row r="3" spans="1:5" x14ac:dyDescent="0.2">
      <c r="A3" t="s">
        <v>37</v>
      </c>
      <c r="B3">
        <f>VLOOKUP($A3,ProductsByName!$A$2:$F$13,2,FALSE)</f>
        <v>10</v>
      </c>
      <c r="C3">
        <f>INDEX(Products!$A$2:$A$13,MATCH($A3,Products!$B$2:$B$13,0))</f>
        <v>10</v>
      </c>
      <c r="D3">
        <f>VLOOKUP($A3,ProductsByName!$A$2:$F$13,5,FALSE)</f>
        <v>250</v>
      </c>
      <c r="E3">
        <f>INDEX(Products!$E$2:$E$13,MATCH($A3,Products!$B$2:$B$13,0))</f>
        <v>250</v>
      </c>
    </row>
    <row r="4" spans="1:5" x14ac:dyDescent="0.2">
      <c r="A4" t="s">
        <v>32</v>
      </c>
      <c r="B4">
        <f>VLOOKUP($A4,ProductsByName!$A$2:$F$13,2,FALSE)</f>
        <v>8</v>
      </c>
      <c r="C4">
        <f>INDEX(Products!$A$2:$A$13,MATCH($A4,Products!$B$2:$B$13,0))</f>
        <v>8</v>
      </c>
      <c r="D4">
        <f>VLOOKUP($A4,ProductsByName!$A$2:$F$13,5,FALSE)</f>
        <v>20</v>
      </c>
      <c r="E4">
        <f>INDEX(Products!$E$2:$E$13,MATCH($A4,Products!$B$2:$B$13,0))</f>
        <v>20</v>
      </c>
    </row>
    <row r="5" spans="1:5" x14ac:dyDescent="0.2">
      <c r="A5" t="s">
        <v>10</v>
      </c>
      <c r="B5" t="e">
        <f>VLOOKUP($A5,ProductsByName!$A$2:$F$13,2,FALSE)</f>
        <v>#N/A</v>
      </c>
      <c r="C5" t="e">
        <f>INDEX(Products!$A$2:$A$13,MATCH($A5,Products!$B$2:$B$13,0))</f>
        <v>#N/A</v>
      </c>
      <c r="D5" t="e">
        <f>VLOOKUP($A5,ProductsByName!$A$2:$F$13,5,FALSE)</f>
        <v>#N/A</v>
      </c>
      <c r="E5" t="e">
        <f>INDEX(Products!$E$2:$E$13,MATCH($A5,Products!$B$2:$B$13,0))</f>
        <v>#N/A</v>
      </c>
    </row>
    <row r="6" spans="1:5" x14ac:dyDescent="0.2">
      <c r="A6" t="s">
        <v>14</v>
      </c>
      <c r="B6">
        <f>VLOOKUP($A6,ProductsByName!$A$2:$F$13,2,FALSE)</f>
        <v>1</v>
      </c>
      <c r="C6">
        <f>INDEX(Products!$A$2:$A$13,MATCH($A6,Products!$B$2:$B$13,0))</f>
        <v>1</v>
      </c>
      <c r="D6">
        <f>VLOOKUP($A6,ProductsByName!$A$2:$F$13,5,FALSE)</f>
        <v>500</v>
      </c>
      <c r="E6">
        <f>INDEX(Products!$E$2:$E$13,MATCH($A6,Products!$B$2:$B$13,0))</f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4619-19BE-9742-8427-7554AA828552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t="s">
        <v>55</v>
      </c>
      <c r="B1" t="s">
        <v>4</v>
      </c>
    </row>
    <row r="2" spans="1:2" x14ac:dyDescent="0.2">
      <c r="A2">
        <v>0</v>
      </c>
      <c r="B2" t="s">
        <v>5</v>
      </c>
    </row>
    <row r="3" spans="1:2" x14ac:dyDescent="0.2">
      <c r="A3">
        <v>60</v>
      </c>
      <c r="B3" t="s">
        <v>6</v>
      </c>
    </row>
    <row r="4" spans="1:2" x14ac:dyDescent="0.2">
      <c r="A4">
        <v>70</v>
      </c>
      <c r="B4" t="s">
        <v>7</v>
      </c>
    </row>
    <row r="5" spans="1:2" x14ac:dyDescent="0.2">
      <c r="A5">
        <v>80</v>
      </c>
      <c r="B5" t="s">
        <v>8</v>
      </c>
    </row>
    <row r="6" spans="1:2" x14ac:dyDescent="0.2">
      <c r="A6">
        <v>90</v>
      </c>
      <c r="B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35AC-F8D4-7847-AD7E-6669D730501D}">
  <dimension ref="A1:C8"/>
  <sheetViews>
    <sheetView workbookViewId="0">
      <selection activeCell="I27" sqref="I27"/>
    </sheetView>
  </sheetViews>
  <sheetFormatPr baseColWidth="10" defaultRowHeight="16" x14ac:dyDescent="0.2"/>
  <sheetData>
    <row r="1" spans="1:3" x14ac:dyDescent="0.2">
      <c r="A1" t="s">
        <v>2</v>
      </c>
      <c r="B1" t="s">
        <v>56</v>
      </c>
      <c r="C1" t="s">
        <v>57</v>
      </c>
    </row>
    <row r="2" spans="1:3" x14ac:dyDescent="0.2">
      <c r="A2">
        <v>55</v>
      </c>
      <c r="B2" t="str">
        <f>VLOOKUP($A2,Grades!$A$2:$B$6,2,TRUE)</f>
        <v>F</v>
      </c>
      <c r="C2" t="str">
        <f>INDEX(Grades!$B$2:$B$6,MATCH($A2,Grades!$A$2:$A$6,1))</f>
        <v>F</v>
      </c>
    </row>
    <row r="3" spans="1:3" x14ac:dyDescent="0.2">
      <c r="A3">
        <v>60</v>
      </c>
      <c r="B3" t="str">
        <f>VLOOKUP($A3,Grades!$A$2:$B$6,2,TRUE)</f>
        <v>D</v>
      </c>
      <c r="C3" t="str">
        <f>INDEX(Grades!$B$2:$B$6,MATCH($A3,Grades!$A$2:$A$6,1))</f>
        <v>D</v>
      </c>
    </row>
    <row r="4" spans="1:3" x14ac:dyDescent="0.2">
      <c r="A4">
        <v>77</v>
      </c>
      <c r="B4" t="str">
        <f>VLOOKUP($A4,Grades!$A$2:$B$6,2,TRUE)</f>
        <v>C</v>
      </c>
      <c r="C4" t="str">
        <f>INDEX(Grades!$B$2:$B$6,MATCH($A4,Grades!$A$2:$A$6,1))</f>
        <v>C</v>
      </c>
    </row>
    <row r="5" spans="1:3" x14ac:dyDescent="0.2">
      <c r="A5">
        <v>88</v>
      </c>
      <c r="B5" t="str">
        <f>VLOOKUP($A5,Grades!$A$2:$B$6,2,TRUE)</f>
        <v>B</v>
      </c>
      <c r="C5" t="str">
        <f>INDEX(Grades!$B$2:$B$6,MATCH($A5,Grades!$A$2:$A$6,1))</f>
        <v>B</v>
      </c>
    </row>
    <row r="6" spans="1:3" x14ac:dyDescent="0.2">
      <c r="A6">
        <v>92</v>
      </c>
      <c r="B6" t="str">
        <f>VLOOKUP($A6,Grades!$A$2:$B$6,2,TRUE)</f>
        <v>A</v>
      </c>
      <c r="C6" t="str">
        <f>INDEX(Grades!$B$2:$B$6,MATCH($A6,Grades!$A$2:$A$6,1))</f>
        <v>A</v>
      </c>
    </row>
    <row r="7" spans="1:3" x14ac:dyDescent="0.2">
      <c r="A7">
        <v>100</v>
      </c>
      <c r="B7" t="str">
        <f>VLOOKUP($A7,Grades!$A$2:$B$6,2,TRUE)</f>
        <v>A</v>
      </c>
      <c r="C7" t="str">
        <f>INDEX(Grades!$B$2:$B$6,MATCH($A7,Grades!$A$2:$A$6,1))</f>
        <v>A</v>
      </c>
    </row>
    <row r="8" spans="1:3" x14ac:dyDescent="0.2">
      <c r="A8">
        <v>0</v>
      </c>
      <c r="B8" t="str">
        <f>VLOOKUP($A8,Grades!$A$2:$B$6,2,TRUE)</f>
        <v>F</v>
      </c>
      <c r="C8" t="str">
        <f>INDEX(Grades!$B$2:$B$6,MATCH($A8,Grades!$A$2:$A$6,1))</f>
        <v>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ProductsByName</vt:lpstr>
      <vt:lpstr>Lookup_By_ID</vt:lpstr>
      <vt:lpstr>Lookup_By_Name</vt:lpstr>
      <vt:lpstr>Grades</vt:lpstr>
      <vt:lpstr>Lookup_Approx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Sękowski</dc:creator>
  <cp:lastModifiedBy>Jakub Sękowski</cp:lastModifiedBy>
  <dcterms:created xsi:type="dcterms:W3CDTF">2025-09-15T10:44:56Z</dcterms:created>
  <dcterms:modified xsi:type="dcterms:W3CDTF">2025-09-15T11:02:39Z</dcterms:modified>
</cp:coreProperties>
</file>