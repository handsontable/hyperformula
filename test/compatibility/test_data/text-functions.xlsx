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/HotNoBackup/hyperformula/test/compatibility/"/>
    </mc:Choice>
  </mc:AlternateContent>
  <xr:revisionPtr revIDLastSave="0" documentId="13_ncr:1_{2B4A76FA-D3BE-3844-9AF0-6EA90500363B}" xr6:coauthVersionLast="47" xr6:coauthVersionMax="47" xr10:uidLastSave="{00000000-0000-0000-0000-000000000000}"/>
  <bookViews>
    <workbookView xWindow="3980" yWindow="2680" windowWidth="28040" windowHeight="17440" xr2:uid="{1A60D665-22CB-654D-B618-3D53148B6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C16" i="1" s="1"/>
  <c r="B12" i="1"/>
  <c r="C12" i="1"/>
  <c r="D12" i="1"/>
  <c r="E12" i="1"/>
  <c r="A13" i="1"/>
  <c r="B13" i="1"/>
  <c r="C13" i="1"/>
  <c r="D13" i="1"/>
  <c r="E13" i="1"/>
  <c r="C17" i="1"/>
  <c r="C18" i="1"/>
  <c r="C19" i="1"/>
  <c r="C20" i="1"/>
  <c r="A23" i="1"/>
  <c r="C23" i="1"/>
  <c r="D23" i="1"/>
  <c r="A24" i="1"/>
  <c r="C24" i="1"/>
  <c r="D24" i="1"/>
  <c r="A25" i="1"/>
  <c r="C25" i="1"/>
  <c r="D25" i="1"/>
  <c r="A26" i="1"/>
  <c r="C26" i="1"/>
  <c r="D26" i="1"/>
</calcChain>
</file>

<file path=xl/sharedStrings.xml><?xml version="1.0" encoding="utf-8"?>
<sst xmlns="http://schemas.openxmlformats.org/spreadsheetml/2006/main" count="35" uniqueCount="35">
  <si>
    <t>Raw Text</t>
  </si>
  <si>
    <t>More Text</t>
  </si>
  <si>
    <t>Numbers as Text</t>
  </si>
  <si>
    <t>CONCATENATE</t>
  </si>
  <si>
    <t>UPPER/LOWER</t>
  </si>
  <si>
    <t>LEN Function</t>
  </si>
  <si>
    <t xml:space="preserve">  Hello  </t>
  </si>
  <si>
    <t>World</t>
  </si>
  <si>
    <t>Excel</t>
  </si>
  <si>
    <t>Formula</t>
  </si>
  <si>
    <t xml:space="preserve">  test  </t>
  </si>
  <si>
    <t>DATA</t>
  </si>
  <si>
    <t>HyperFormula</t>
  </si>
  <si>
    <t>Testing</t>
  </si>
  <si>
    <t>Empty</t>
  </si>
  <si>
    <t>TRIM Function</t>
  </si>
  <si>
    <t>MID Function</t>
  </si>
  <si>
    <t>LEFT/RIGHT</t>
  </si>
  <si>
    <t>FIND/SEARCH</t>
  </si>
  <si>
    <t>SUBSTITUTE</t>
  </si>
  <si>
    <t>Special Cases</t>
  </si>
  <si>
    <t>Text with Numbers</t>
  </si>
  <si>
    <t>Complex Formulas</t>
  </si>
  <si>
    <t>ABC123def</t>
  </si>
  <si>
    <t>Price: $25.50</t>
  </si>
  <si>
    <t>Hello@World!</t>
  </si>
  <si>
    <t>Qty: 10 units</t>
  </si>
  <si>
    <t>123ABC456</t>
  </si>
  <si>
    <t>Date: 2024-01-15</t>
  </si>
  <si>
    <t>Quoted Text</t>
  </si>
  <si>
    <t>Error: #N/A</t>
  </si>
  <si>
    <t>Multiple   Spaces</t>
  </si>
  <si>
    <t>Text Comparison</t>
  </si>
  <si>
    <t>EXACT Function</t>
  </si>
  <si>
    <t>REPT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</si>
</sst>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FF4F-7DC7-E94D-9BF8-BF3752B8D239}">
  <dimension ref="A1:F26"/>
  <sheetViews>
    <sheetView tabSelected="1" workbookViewId="0">
      <selection activeCell="G12" sqref="G1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123</v>
      </c>
      <c r="D2" t="str">
        <f>CONCATENATE(A2," ",B2)</f>
        <v xml:space="preserve">  Hello   World</v>
      </c>
      <c r="E2" t="str">
        <f>UPPER(A2)</f>
        <v xml:space="preserve">  HELLO  </v>
      </c>
      <c r="F2">
        <f>LEN(A2)</f>
        <v>9</v>
      </c>
    </row>
    <row r="3" spans="1:6" x14ac:dyDescent="0.2">
      <c r="A3" t="s">
        <v>8</v>
      </c>
      <c r="B3" t="s">
        <v>9</v>
      </c>
      <c r="C3">
        <v>456</v>
      </c>
      <c r="D3" t="str">
        <f>CONCATENATE(A3,"-",B3,"-",C3)</f>
        <v>Excel-Formula-456</v>
      </c>
      <c r="E3" t="str">
        <f>LOWER(B3)</f>
        <v>formula</v>
      </c>
      <c r="F3">
        <f>LEN(B3)</f>
        <v>7</v>
      </c>
    </row>
    <row r="4" spans="1:6" x14ac:dyDescent="0.2">
      <c r="A4" t="s">
        <v>10</v>
      </c>
      <c r="B4" t="s">
        <v>11</v>
      </c>
      <c r="C4">
        <v>789</v>
      </c>
      <c r="D4" t="str">
        <f>A4&amp;B4&amp;C4</f>
        <v xml:space="preserve">  test  DATA789</v>
      </c>
      <c r="E4" t="str">
        <f>PROPER(A4)</f>
        <v xml:space="preserve">  Test  </v>
      </c>
      <c r="F4">
        <f>LEN(TRIM(A4))</f>
        <v>4</v>
      </c>
    </row>
    <row r="5" spans="1:6" x14ac:dyDescent="0.2">
      <c r="A5" t="s">
        <v>12</v>
      </c>
      <c r="B5" t="s">
        <v>13</v>
      </c>
      <c r="C5">
        <v>0</v>
      </c>
      <c r="D5" t="str">
        <f>CONCATENATE(B5," ",A5)</f>
        <v>Testing HyperFormula</v>
      </c>
      <c r="E5" t="str">
        <f>UPPER(B5)</f>
        <v>TESTING</v>
      </c>
      <c r="F5">
        <f>LEN(C5)</f>
        <v>1</v>
      </c>
    </row>
    <row r="6" spans="1:6" x14ac:dyDescent="0.2">
      <c r="B6" t="s">
        <v>14</v>
      </c>
      <c r="D6" t="str">
        <f>A6&amp;"_"&amp;B6&amp;"_"&amp;C6</f>
        <v>_Empty_</v>
      </c>
      <c r="E6" t="str">
        <f>LOWER(A6)</f>
        <v/>
      </c>
      <c r="F6">
        <f>LEN(A6)</f>
        <v>0</v>
      </c>
    </row>
    <row r="8" spans="1:6" x14ac:dyDescent="0.2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 spans="1:6" x14ac:dyDescent="0.2">
      <c r="A9" t="str">
        <f>TRIM(A2)</f>
        <v>Hello</v>
      </c>
      <c r="B9" t="str">
        <f>MID(A2,2,3)</f>
        <v xml:space="preserve"> He</v>
      </c>
      <c r="C9" t="str">
        <f>LEFT(A2,4)</f>
        <v xml:space="preserve">  He</v>
      </c>
      <c r="D9">
        <f>FIND("l",A2)</f>
        <v>5</v>
      </c>
      <c r="E9" t="str">
        <f>SUBSTITUTE(A2," ","_")</f>
        <v>__Hello__</v>
      </c>
    </row>
    <row r="10" spans="1:6" x14ac:dyDescent="0.2">
      <c r="A10" t="str">
        <f>TRIM(A3)</f>
        <v>Excel</v>
      </c>
      <c r="B10" t="str">
        <f>MID(B3,1,3)</f>
        <v>For</v>
      </c>
      <c r="C10" t="str">
        <f>RIGHT(B3,4)</f>
        <v>mula</v>
      </c>
      <c r="D10">
        <f>SEARCH("o",B2)</f>
        <v>2</v>
      </c>
      <c r="E10" t="str">
        <f>SUBSTITUTE(B3,"a","@")</f>
        <v>Formul@</v>
      </c>
    </row>
    <row r="11" spans="1:6" x14ac:dyDescent="0.2">
      <c r="A11" t="str">
        <f>TRIM(A4)</f>
        <v>test</v>
      </c>
      <c r="B11" t="str">
        <f>MID(C4,2,2)</f>
        <v>89</v>
      </c>
      <c r="C11" t="str">
        <f>LEFT(B4,2)</f>
        <v>DA</v>
      </c>
      <c r="D11">
        <f>FIND("t",A4)</f>
        <v>3</v>
      </c>
      <c r="E11" t="str">
        <f>SUBSTITUTE(A4,"test","TEST")</f>
        <v xml:space="preserve">  TEST  </v>
      </c>
    </row>
    <row r="12" spans="1:6" x14ac:dyDescent="0.2">
      <c r="A12" t="str">
        <f>TRIM(A5)</f>
        <v>HyperFormula</v>
      </c>
      <c r="B12" t="str">
        <f>MID(A5,3,5)</f>
        <v>perFo</v>
      </c>
      <c r="C12" t="str">
        <f>RIGHT(A5,6)</f>
        <v>ormula</v>
      </c>
      <c r="D12">
        <f>SEARCH("E",B5)</f>
        <v>2</v>
      </c>
      <c r="E12" t="str">
        <f>SUBSTITUTE(B5,"T","*")</f>
        <v>*esting</v>
      </c>
    </row>
    <row r="13" spans="1:6" x14ac:dyDescent="0.2">
      <c r="A13" t="str">
        <f>TRIM(A6)</f>
        <v/>
      </c>
      <c r="B13" t="str">
        <f>MID(B6,1,1)</f>
        <v>E</v>
      </c>
      <c r="C13" t="str">
        <f>LEFT(C6,1)</f>
        <v/>
      </c>
      <c r="D13">
        <f>FIND("y",B6)</f>
        <v>5</v>
      </c>
      <c r="E13" t="str">
        <f>SUBSTITUTE(C6,"0","X")</f>
        <v/>
      </c>
    </row>
    <row r="15" spans="1:6" x14ac:dyDescent="0.2">
      <c r="A15" t="s">
        <v>20</v>
      </c>
      <c r="B15" t="s">
        <v>21</v>
      </c>
      <c r="C15" t="s">
        <v>22</v>
      </c>
    </row>
    <row r="16" spans="1:6" x14ac:dyDescent="0.2">
      <c r="A16" t="s">
        <v>23</v>
      </c>
      <c r="B16" t="s">
        <v>24</v>
      </c>
      <c r="C16" t="str">
        <f>UPPER(LEFT(A12,3))&amp;LOWER(RIGHT(A12,3))</f>
        <v>HYPula</v>
      </c>
    </row>
    <row r="17" spans="1:4" x14ac:dyDescent="0.2">
      <c r="A17" t="s">
        <v>25</v>
      </c>
      <c r="B17" t="s">
        <v>26</v>
      </c>
      <c r="C17" t="str">
        <f>TRIM(SUBSTITUTE(B13,"$",""))</f>
        <v>E</v>
      </c>
    </row>
    <row r="18" spans="1:4" x14ac:dyDescent="0.2">
      <c r="A18" t="s">
        <v>27</v>
      </c>
      <c r="B18" t="s">
        <v>28</v>
      </c>
      <c r="C18" t="str">
        <f>MID(A14,4,3)&amp;MID(A14,1,3)</f>
        <v/>
      </c>
    </row>
    <row r="19" spans="1:4" x14ac:dyDescent="0.2">
      <c r="A19" t="s">
        <v>29</v>
      </c>
      <c r="B19" t="s">
        <v>30</v>
      </c>
      <c r="C19">
        <f>LEN(TRIM(A15))-2</f>
        <v>11</v>
      </c>
    </row>
    <row r="20" spans="1:4" x14ac:dyDescent="0.2">
      <c r="B20" t="s">
        <v>31</v>
      </c>
      <c r="C20" t="str">
        <f>SUBSTITUTE(B16,"  "," ")</f>
        <v>Price: $25.50</v>
      </c>
    </row>
    <row r="22" spans="1:4" x14ac:dyDescent="0.2">
      <c r="A22" t="s">
        <v>32</v>
      </c>
      <c r="C22" t="s">
        <v>33</v>
      </c>
      <c r="D22" t="s">
        <v>34</v>
      </c>
    </row>
    <row r="23" spans="1:4" x14ac:dyDescent="0.2">
      <c r="A23" t="str">
        <f>IF(A2=B2,"Same","Different")</f>
        <v>Different</v>
      </c>
      <c r="C23" t="b">
        <f>EXACT(A2,"  Hello  ")</f>
        <v>1</v>
      </c>
      <c r="D23" t="str">
        <f>REPT("*",3)</f>
        <v>***</v>
      </c>
    </row>
    <row r="24" spans="1:4" x14ac:dyDescent="0.2">
      <c r="A24" t="str">
        <f>IF(UPPER(A3)=UPPER(B3),"Same Case","Different")</f>
        <v>Different</v>
      </c>
      <c r="C24" t="b">
        <f>EXACT(TRIM(A2),"Hello")</f>
        <v>1</v>
      </c>
      <c r="D24" t="str">
        <f>REPT(A3,2)</f>
        <v>ExcelExcel</v>
      </c>
    </row>
    <row r="25" spans="1:4" x14ac:dyDescent="0.2">
      <c r="A25" t="str">
        <f>IF(LEN(A4)=LEN(B4),"Same Length","Different")</f>
        <v>Different</v>
      </c>
      <c r="C25" t="b">
        <f>EXACT(A4,A5)</f>
        <v>0</v>
      </c>
      <c r="D25" t="str">
        <f>REPT("-",LEN(A4))</f>
        <v>--------</v>
      </c>
    </row>
    <row r="26" spans="1:4" x14ac:dyDescent="0.2">
      <c r="A26" t="str">
        <f>IF(TRIM(A4)=A4,"No Spaces","Has Spaces")</f>
        <v>Has Spaces</v>
      </c>
      <c r="C26" t="b">
        <f>EXACT(UPPER(A2),UPPER(A3))</f>
        <v>0</v>
      </c>
      <c r="D26" t="str">
        <f>REPT(B2,1)</f>
        <v>World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Sękowski</dc:creator>
  <cp:lastModifiedBy>Jakub Sękowski</cp:lastModifiedBy>
  <dcterms:created xsi:type="dcterms:W3CDTF">2025-09-12T14:47:40Z</dcterms:created>
  <dcterms:modified xsi:type="dcterms:W3CDTF">2025-09-12T15:42:44Z</dcterms:modified>
</cp:coreProperties>
</file>