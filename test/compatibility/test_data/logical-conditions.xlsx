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/HotNoBackup/hyperformula/test/compatibility/test_data/"/>
    </mc:Choice>
  </mc:AlternateContent>
  <xr:revisionPtr revIDLastSave="0" documentId="13_ncr:1_{761B6801-142B-F442-93F5-CD3F0FC4D6C1}" xr6:coauthVersionLast="47" xr6:coauthVersionMax="47" xr10:uidLastSave="{00000000-0000-0000-0000-000000000000}"/>
  <bookViews>
    <workbookView xWindow="3980" yWindow="2680" windowWidth="28040" windowHeight="17440" xr2:uid="{29B9C796-F800-B64F-9596-CCA94A0D2F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7" i="1"/>
  <c r="D16" i="1"/>
  <c r="A16" i="1"/>
  <c r="B25" i="1"/>
  <c r="D2" i="1"/>
  <c r="E2" i="1"/>
  <c r="F2" i="1"/>
  <c r="D3" i="1"/>
  <c r="E3" i="1"/>
  <c r="F3" i="1"/>
  <c r="D4" i="1"/>
  <c r="E4" i="1"/>
  <c r="F4" i="1"/>
  <c r="D5" i="1"/>
  <c r="E5" i="1"/>
  <c r="F5" i="1"/>
  <c r="D6" i="1"/>
  <c r="E6" i="1"/>
  <c r="F6" i="1"/>
  <c r="A9" i="1"/>
  <c r="B9" i="1"/>
  <c r="C9" i="1"/>
  <c r="D9" i="1"/>
  <c r="A10" i="1"/>
  <c r="B10" i="1"/>
  <c r="C10" i="1"/>
  <c r="D10" i="1"/>
  <c r="A11" i="1"/>
  <c r="B11" i="1"/>
  <c r="C11" i="1"/>
  <c r="D11" i="1"/>
  <c r="A12" i="1"/>
  <c r="B12" i="1"/>
  <c r="C12" i="1"/>
  <c r="D12" i="1"/>
  <c r="A13" i="1"/>
  <c r="B13" i="1"/>
  <c r="C13" i="1"/>
  <c r="D13" i="1"/>
  <c r="A17" i="1"/>
  <c r="A18" i="1"/>
  <c r="D18" i="1"/>
  <c r="A19" i="1"/>
  <c r="D19" i="1"/>
  <c r="A20" i="1"/>
  <c r="A23" i="1"/>
  <c r="B23" i="1"/>
  <c r="C23" i="1"/>
  <c r="A24" i="1"/>
  <c r="B24" i="1"/>
  <c r="C24" i="1"/>
  <c r="A25" i="1"/>
  <c r="C25" i="1"/>
  <c r="A26" i="1"/>
  <c r="B26" i="1"/>
  <c r="C26" i="1"/>
  <c r="A27" i="1"/>
  <c r="B27" i="1"/>
  <c r="C27" i="1"/>
  <c r="A30" i="1"/>
  <c r="C30" i="1"/>
  <c r="A31" i="1"/>
  <c r="C31" i="1"/>
  <c r="A32" i="1"/>
  <c r="C32" i="1"/>
  <c r="A33" i="1"/>
  <c r="C33" i="1"/>
</calcChain>
</file>

<file path=xl/sharedStrings.xml><?xml version="1.0" encoding="utf-8"?>
<sst xmlns="http://schemas.openxmlformats.org/spreadsheetml/2006/main" count="26" uniqueCount="25">
  <si>
    <t>Test Values</t>
  </si>
  <si>
    <t>More Values</t>
  </si>
  <si>
    <t>Conditions</t>
  </si>
  <si>
    <t>Basic IF</t>
  </si>
  <si>
    <t>AND Function</t>
  </si>
  <si>
    <t>OR Function</t>
  </si>
  <si>
    <t>NOT Function</t>
  </si>
  <si>
    <t>Nested IF</t>
  </si>
  <si>
    <t>Multiple Conditions</t>
  </si>
  <si>
    <t>IFERROR</t>
  </si>
  <si>
    <t>Complex Logic</t>
  </si>
  <si>
    <t>Text Comparisons</t>
  </si>
  <si>
    <t>Date Logic</t>
  </si>
  <si>
    <t>Boolean Operations</t>
  </si>
  <si>
    <t>Apple</t>
  </si>
  <si>
    <t>Banana</t>
  </si>
  <si>
    <t>Cherry</t>
  </si>
  <si>
    <t>apple</t>
  </si>
  <si>
    <t>String Comparisons</t>
  </si>
  <si>
    <t>COUNTIF Style</t>
  </si>
  <si>
    <t>Advanced Nested</t>
  </si>
  <si>
    <t>Error Testing</t>
  </si>
  <si>
    <t>Blank Cells</t>
  </si>
  <si>
    <t>Zero Comparisons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</si>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</sst>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3D17-0681-9E44-87FE-16DE9C94075E}">
  <dimension ref="A1:F33"/>
  <sheetViews>
    <sheetView tabSelected="1" workbookViewId="0">
      <selection activeCell="D21" sqref="D2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</v>
      </c>
      <c r="B2">
        <v>5</v>
      </c>
      <c r="C2" t="b">
        <v>1</v>
      </c>
      <c r="D2" t="str">
        <f>IF(A2&gt;B2,"Greater","Less/Equal")</f>
        <v>Greater</v>
      </c>
      <c r="E2" t="b">
        <f>AND(A2&gt;5,B2&lt;10)</f>
        <v>1</v>
      </c>
      <c r="F2" t="b">
        <f>OR(A2&gt;15,B2&lt;3)</f>
        <v>0</v>
      </c>
    </row>
    <row r="3" spans="1:6" x14ac:dyDescent="0.2">
      <c r="A3">
        <v>3</v>
      </c>
      <c r="B3">
        <v>8</v>
      </c>
      <c r="C3" t="b">
        <v>0</v>
      </c>
      <c r="D3" t="str">
        <f>IF(A3&lt;B3,"Less","Greater/Equal")</f>
        <v>Less</v>
      </c>
      <c r="E3" t="b">
        <f>AND(A3&gt;0,B3&gt;0)</f>
        <v>1</v>
      </c>
      <c r="F3" t="b">
        <f>OR(A3=3,B3=8)</f>
        <v>1</v>
      </c>
    </row>
    <row r="4" spans="1:6" x14ac:dyDescent="0.2">
      <c r="A4">
        <v>5</v>
      </c>
      <c r="B4">
        <v>5</v>
      </c>
      <c r="C4" t="b">
        <v>1</v>
      </c>
      <c r="D4" t="str">
        <f>IF(A4=B4,"Equal","Not Equal")</f>
        <v>Equal</v>
      </c>
      <c r="E4" t="b">
        <f>AND(A4&gt;=5,B4&lt;=5)</f>
        <v>1</v>
      </c>
      <c r="F4" t="b">
        <f>OR(A4&lt;0,B4&gt;10)</f>
        <v>0</v>
      </c>
    </row>
    <row r="5" spans="1:6" x14ac:dyDescent="0.2">
      <c r="A5">
        <v>0</v>
      </c>
      <c r="B5">
        <v>12</v>
      </c>
      <c r="C5" t="b">
        <v>0</v>
      </c>
      <c r="D5" t="str">
        <f>IF(A5=0,"Zero","Non-Zero")</f>
        <v>Zero</v>
      </c>
      <c r="E5" t="b">
        <f>AND(A5&gt;-1,B5&lt;15)</f>
        <v>1</v>
      </c>
      <c r="F5" t="b">
        <f>OR(A5=0,B5=0)</f>
        <v>1</v>
      </c>
    </row>
    <row r="6" spans="1:6" x14ac:dyDescent="0.2">
      <c r="A6">
        <v>-2</v>
      </c>
      <c r="B6">
        <v>-5</v>
      </c>
      <c r="D6" t="str">
        <f>IF(A6&lt;0,"Negative","Positive")</f>
        <v>Negative</v>
      </c>
      <c r="E6" t="b">
        <f>AND(A6&lt;0,B6&lt;0)</f>
        <v>1</v>
      </c>
      <c r="F6" t="b">
        <f>OR(A6&gt;0,B6&gt;0)</f>
        <v>0</v>
      </c>
    </row>
    <row r="8" spans="1:6" x14ac:dyDescent="0.2">
      <c r="A8" t="s">
        <v>6</v>
      </c>
      <c r="B8" t="s">
        <v>7</v>
      </c>
      <c r="C8" t="s">
        <v>8</v>
      </c>
      <c r="D8" t="s">
        <v>9</v>
      </c>
    </row>
    <row r="9" spans="1:6" x14ac:dyDescent="0.2">
      <c r="A9" t="b">
        <f>NOT(C2)</f>
        <v>0</v>
      </c>
      <c r="B9" t="str">
        <f>IF(A2&gt;10,"High",IF(A2&gt;5,"Medium","Low"))</f>
        <v>Medium</v>
      </c>
      <c r="C9" t="str">
        <f>IF(AND(A2&gt;5,B2&lt;10),"Valid","Invalid")</f>
        <v>Valid</v>
      </c>
      <c r="D9">
        <f>IFERROR(A2/B2,"Error")</f>
        <v>2</v>
      </c>
    </row>
    <row r="10" spans="1:6" x14ac:dyDescent="0.2">
      <c r="A10" t="b">
        <f>NOT(A3&gt;B3)</f>
        <v>1</v>
      </c>
      <c r="B10" t="str">
        <f>IF(B3&gt;10,"Large",IF(B3&gt;5,"Medium","Small"))</f>
        <v>Medium</v>
      </c>
      <c r="C10" t="str">
        <f>IF(OR(A3&lt;0,B3&lt;0),"Has Negative","All Positive")</f>
        <v>All Positive</v>
      </c>
      <c r="D10" t="str">
        <f>IFERROR(A3/A5,"Division Error")</f>
        <v>Division Error</v>
      </c>
    </row>
    <row r="11" spans="1:6" x14ac:dyDescent="0.2">
      <c r="A11" t="b">
        <f>NOT(C4)</f>
        <v>0</v>
      </c>
      <c r="B11" t="str">
        <f>IF(A4=B4,"Same",IF(A4&gt;B4,"A Bigger","B Bigger"))</f>
        <v>Same</v>
      </c>
      <c r="C11" t="str">
        <f>IF(AND(A4&gt;=0,B4&gt;=0,A4+B4&gt;8),"Sum Check","Fail")</f>
        <v>Sum Check</v>
      </c>
      <c r="D11">
        <f>IFERROR(SQRT(A4),"Cannot Calculate")</f>
        <v>2.2360679774997898</v>
      </c>
    </row>
    <row r="12" spans="1:6" x14ac:dyDescent="0.2">
      <c r="A12" t="b">
        <f>NOT(A5=B5)</f>
        <v>1</v>
      </c>
      <c r="B12" t="str">
        <f>IF(A5=0,"Zero",IF(A5&gt;0,"Positive","Negative"))</f>
        <v>Zero</v>
      </c>
      <c r="C12" t="str">
        <f>IF(OR(A5=0,B5=0),"Contains Zero","No Zeros")</f>
        <v>Contains Zero</v>
      </c>
      <c r="D12" t="str">
        <f>IFERROR(B5/A5,"Div by Zero")</f>
        <v>Div by Zero</v>
      </c>
    </row>
    <row r="13" spans="1:6" x14ac:dyDescent="0.2">
      <c r="A13" t="b">
        <f>NOT(AND(A6&lt;0,B6&lt;0))</f>
        <v>0</v>
      </c>
      <c r="B13" t="str">
        <f>IF(B6&lt;A6,"B&lt;A",IF(B6=A6,"Equal","B&gt;A"))</f>
        <v>B&lt;A</v>
      </c>
      <c r="C13" t="str">
        <f>IF(AND(A6&lt;&gt;0,B6&lt;&gt;0,A6*B6&gt;0),"Same Sign","Different")</f>
        <v>Same Sign</v>
      </c>
      <c r="D13">
        <f>IFERROR(10/A6,"Cannot Divide")</f>
        <v>-5</v>
      </c>
    </row>
    <row r="15" spans="1:6" x14ac:dyDescent="0.2">
      <c r="A15" t="s">
        <v>10</v>
      </c>
      <c r="B15" t="s">
        <v>11</v>
      </c>
      <c r="C15" t="s">
        <v>12</v>
      </c>
      <c r="D15" t="s">
        <v>13</v>
      </c>
    </row>
    <row r="16" spans="1:6" x14ac:dyDescent="0.2">
      <c r="A16" t="str">
        <f>IF(AND(A2&gt;0,B2&gt;0,A2+B2&gt;10),"Pass","Fail")</f>
        <v>Pass</v>
      </c>
      <c r="B16" t="s">
        <v>14</v>
      </c>
      <c r="C16">
        <v>1</v>
      </c>
      <c r="D16" s="1" t="b">
        <f>AND(TRUE, FALSE)</f>
        <v>0</v>
      </c>
    </row>
    <row r="17" spans="1:4" x14ac:dyDescent="0.2">
      <c r="A17" t="str">
        <f>IF(OR(A3=3,B3=8,C3=TRUE),"Match Found","No Match")</f>
        <v>Match Found</v>
      </c>
      <c r="B17" t="s">
        <v>15</v>
      </c>
      <c r="C17">
        <v>2</v>
      </c>
      <c r="D17" s="1" t="b">
        <f>OR(TRUE, FALSE)</f>
        <v>1</v>
      </c>
    </row>
    <row r="18" spans="1:4" x14ac:dyDescent="0.2">
      <c r="A18" t="str">
        <f>IF(NOT(AND(A4&lt;0,B4&lt;0)),"Not Both Negative","Both Negative")</f>
        <v>Not Both Negative</v>
      </c>
      <c r="B18" t="s">
        <v>14</v>
      </c>
      <c r="C18">
        <v>3</v>
      </c>
      <c r="D18" t="b">
        <f>NOT(TRUE)</f>
        <v>0</v>
      </c>
    </row>
    <row r="19" spans="1:4" x14ac:dyDescent="0.2">
      <c r="A19" t="str">
        <f>IF(AND(OR(A5&gt;=0,B5&gt;=0),A5+B5&lt;&gt;0),"Complex Check","Failed")</f>
        <v>Complex Check</v>
      </c>
      <c r="B19" t="s">
        <v>16</v>
      </c>
      <c r="C19">
        <v>4</v>
      </c>
      <c r="D19" t="b">
        <f>NOT(FALSE)</f>
        <v>1</v>
      </c>
    </row>
    <row r="20" spans="1:4" x14ac:dyDescent="0.2">
      <c r="A20" t="str">
        <f>IF(OR(AND(A6&lt;0,B6&gt;0),AND(A6&gt;0,B6&lt;0)),"Opposite Signs","Same Signs")</f>
        <v>Same Signs</v>
      </c>
      <c r="B20" t="s">
        <v>17</v>
      </c>
      <c r="C20">
        <v>5</v>
      </c>
      <c r="D20" t="b">
        <f>_xlfn.XOR(TRUE, FALSE)</f>
        <v>1</v>
      </c>
    </row>
    <row r="22" spans="1:4" x14ac:dyDescent="0.2">
      <c r="A22" t="s">
        <v>18</v>
      </c>
      <c r="B22" t="s">
        <v>19</v>
      </c>
      <c r="C22" t="s">
        <v>20</v>
      </c>
    </row>
    <row r="23" spans="1:4" x14ac:dyDescent="0.2">
      <c r="A23" t="str">
        <f>IF(G7=G11,"Case Match","Case Different")</f>
        <v>Case Match</v>
      </c>
      <c r="B23" t="str">
        <f>IF(COUNTIF(A2:A6,"&gt;5")&gt;2,"Many Large","Few Large")</f>
        <v>Few Large</v>
      </c>
      <c r="C23" t="str">
        <f>IF(OR(AND(A2&gt;8,B2&lt;6),AND(A2&lt;2,B2&gt;9)),"Edge Case","Normal")</f>
        <v>Edge Case</v>
      </c>
    </row>
    <row r="24" spans="1:4" x14ac:dyDescent="0.2">
      <c r="A24" t="str">
        <f>IF(UPPER(G8)=UPPER(G12),"Same Word","Different")</f>
        <v>Same Word</v>
      </c>
      <c r="B24" t="str">
        <f>IF(COUNTIF(B2:B6,"&lt;0")&gt;0,"Has Negatives","All Positive")</f>
        <v>Has Negatives</v>
      </c>
      <c r="C24" t="str">
        <f>IF(AND(A3&lt;&gt;B3,OR(A3&gt;7,B3&gt;7)),"Unequal &amp; Large","Other")</f>
        <v>Unequal &amp; Large</v>
      </c>
    </row>
    <row r="25" spans="1:4" x14ac:dyDescent="0.2">
      <c r="A25" t="str">
        <f>IF(G9&lt;&gt;G7,"Different Fruits","Same Fruit")</f>
        <v>Same Fruit</v>
      </c>
      <c r="B25" t="str">
        <f>IF(COUNTIF(C2:C6,TRUE)&gt;=2,"Mostly True","Mostly False")</f>
        <v>Mostly True</v>
      </c>
      <c r="C25" t="str">
        <f>IF(NOT(OR(A4=0,B4=0,A4=B4)),"All Different Non-Zero","Special Case")</f>
        <v>Special Case</v>
      </c>
    </row>
    <row r="26" spans="1:4" x14ac:dyDescent="0.2">
      <c r="A26" t="str">
        <f>IF(LEN(G10)&gt;LEN(G8),"Longer","Shorter/Equal")</f>
        <v>Shorter/Equal</v>
      </c>
      <c r="B26" t="str">
        <f>IF(COUNTIF(A2:A6,0)&gt;0,"Contains Zero","No Zeros")</f>
        <v>Contains Zero</v>
      </c>
      <c r="C26" t="str">
        <f>IF(AND(A5*B5&lt;0,ABS(A5)&gt;ABS(B5)),"Negative Product A Larger","Other")</f>
        <v>Other</v>
      </c>
    </row>
    <row r="27" spans="1:4" x14ac:dyDescent="0.2">
      <c r="A27" t="str">
        <f>IF(EXACT(G7,G11),"Exact Match","Not Exact")</f>
        <v>Exact Match</v>
      </c>
      <c r="B27" t="str">
        <f>IF(COUNTIF(A2:B6,"&gt;10")&gt;1,"Multiple Large","Few Large")</f>
        <v>Few Large</v>
      </c>
      <c r="C27" t="str">
        <f>IF(OR(AND(A6&lt;-1,B6&lt;-1),AND(A6+B6&lt;-5)),"Very Negative","Not So Negative")</f>
        <v>Very Negative</v>
      </c>
    </row>
    <row r="29" spans="1:4" x14ac:dyDescent="0.2">
      <c r="A29" t="s">
        <v>21</v>
      </c>
      <c r="B29" t="s">
        <v>22</v>
      </c>
      <c r="C29" t="s">
        <v>23</v>
      </c>
    </row>
    <row r="30" spans="1:4" x14ac:dyDescent="0.2">
      <c r="A30" t="str">
        <f>IF(ISERROR(1/0),"Is Error","No Error")</f>
        <v>Is Error</v>
      </c>
      <c r="C30" t="str">
        <f>IF(A5=0,"Zero","Not Zero")</f>
        <v>Zero</v>
      </c>
    </row>
    <row r="31" spans="1:4" x14ac:dyDescent="0.2">
      <c r="A31" t="str">
        <f>IF(ISBLANK(G18),"Is Blank","Not Blank")</f>
        <v>Is Blank</v>
      </c>
      <c r="B31" t="s">
        <v>24</v>
      </c>
      <c r="C31" t="str">
        <f>IF(B5&lt;&gt;0,"Non-Zero","Zero")</f>
        <v>Non-Zero</v>
      </c>
    </row>
    <row r="32" spans="1:4" x14ac:dyDescent="0.2">
      <c r="A32" t="str">
        <f>IF(ISNUMBER(A2),"Is Number","Not Number")</f>
        <v>Is Number</v>
      </c>
      <c r="C32" t="str">
        <f>IF(OR(A5=0,B5=0),"Has Zero","No Zero")</f>
        <v>Has Zero</v>
      </c>
    </row>
    <row r="33" spans="1:3" x14ac:dyDescent="0.2">
      <c r="A33" t="str">
        <f>IF(ISTEXT(G19),"Is Text","Not Text")</f>
        <v>Not Text</v>
      </c>
      <c r="B33">
        <v>123</v>
      </c>
      <c r="C33" t="str">
        <f>IF(AND(A5&lt;&gt;0,B5&lt;&gt;0),"Both Non-Zero","Has Zero")</f>
        <v>Has Zero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Sękowski</dc:creator>
  <cp:lastModifiedBy>Jakub Sękowski</cp:lastModifiedBy>
  <dcterms:created xsi:type="dcterms:W3CDTF">2025-09-15T10:41:43Z</dcterms:created>
  <dcterms:modified xsi:type="dcterms:W3CDTF">2025-09-30T11:03:48Z</dcterms:modified>
</cp:coreProperties>
</file>